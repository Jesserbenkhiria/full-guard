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rgypontoise-my.sharepoint.com/personal/mtartarin_cacp_fr/Documents/Bureau/"/>
    </mc:Choice>
  </mc:AlternateContent>
  <xr:revisionPtr revIDLastSave="0" documentId="8_{DCA65784-4624-4EEC-ACF7-9488DFFA37A0}" xr6:coauthVersionLast="47" xr6:coauthVersionMax="47" xr10:uidLastSave="{00000000-0000-0000-0000-000000000000}"/>
  <bookViews>
    <workbookView xWindow="-108" yWindow="-108" windowWidth="23256" windowHeight="12456" xr2:uid="{90C7F1E4-5D34-425E-901B-0B881F49D80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6" i="1" l="1"/>
  <c r="I35" i="1"/>
  <c r="I34" i="1"/>
  <c r="I32" i="1"/>
  <c r="I31" i="1"/>
  <c r="I30" i="1"/>
  <c r="I29" i="1"/>
  <c r="I28" i="1"/>
  <c r="I27" i="1"/>
  <c r="E37" i="1" s="1"/>
  <c r="J37" i="1" s="1"/>
  <c r="I25" i="1"/>
  <c r="I24" i="1"/>
  <c r="I23" i="1"/>
  <c r="I22" i="1"/>
  <c r="I21" i="1"/>
  <c r="I20" i="1"/>
  <c r="I18" i="1"/>
  <c r="I17" i="1"/>
  <c r="I16" i="1"/>
  <c r="I15" i="1"/>
  <c r="I14" i="1"/>
  <c r="I13" i="1"/>
  <c r="I10" i="1"/>
  <c r="I9" i="1"/>
  <c r="I8" i="1"/>
</calcChain>
</file>

<file path=xl/sharedStrings.xml><?xml version="1.0" encoding="utf-8"?>
<sst xmlns="http://schemas.openxmlformats.org/spreadsheetml/2006/main" count="148" uniqueCount="31">
  <si>
    <t>PLANNING PREVISIONNEL</t>
  </si>
  <si>
    <t>Date</t>
  </si>
  <si>
    <t>Taches à Effectuer</t>
  </si>
  <si>
    <t>Horaires  effectués</t>
  </si>
  <si>
    <t>Tps rep</t>
  </si>
  <si>
    <t>Cumul/j</t>
  </si>
  <si>
    <t>Observations</t>
  </si>
  <si>
    <t>mar</t>
  </si>
  <si>
    <t>Siapp</t>
  </si>
  <si>
    <t>de</t>
  </si>
  <si>
    <t>à</t>
  </si>
  <si>
    <t>MAINTENANCE</t>
  </si>
  <si>
    <t>mer</t>
  </si>
  <si>
    <t>jeu</t>
  </si>
  <si>
    <t>ven</t>
  </si>
  <si>
    <t>sam</t>
  </si>
  <si>
    <t>dim</t>
  </si>
  <si>
    <t>lun</t>
  </si>
  <si>
    <t>D/ 9h-18h : Résidence DEP Photograph *JD</t>
  </si>
  <si>
    <t>D/ 9h-18h : Résidence DEP Photograph</t>
  </si>
  <si>
    <t>D/ 10h-16h : Résidence DEP Photograph / pot de rentrée</t>
  </si>
  <si>
    <t>D/ 10h-16h : Résidence DEP Photograph</t>
  </si>
  <si>
    <t>95 SOUNDS / feu d'artifice</t>
  </si>
  <si>
    <t>D / 9h-18h : Résidence Cyrène</t>
  </si>
  <si>
    <t>D / 9h-18h : Résidence Shakkalo</t>
  </si>
  <si>
    <t>D/ 9h-18h : Résidence Isimaria (part. Forum)</t>
  </si>
  <si>
    <t>MODIFICATION TRIBUNE</t>
  </si>
  <si>
    <t>MODIFICATION TRIBUNE/Repliage tribune / 8h : Test Groupe Electrogène</t>
  </si>
  <si>
    <t>Thé Dansant *AH</t>
  </si>
  <si>
    <t>9h-18h : Résidence Miae (pp LEJ)</t>
  </si>
  <si>
    <t>Heures effectuées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</si>
</sst>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mmmmm"/>
  </numFmts>
  <fonts count="20" x14ac:knownFonts="1">
    <font>
      <sz val="11"/>
      <color theme="1"/>
      <name val="Aptos Narrow"/>
      <family val="2"/>
      <scheme val="minor"/>
    </font>
    <font>
      <b/>
      <sz val="26"/>
      <color indexed="18"/>
      <name val="Bookman Old Style"/>
      <family val="1"/>
    </font>
    <font>
      <b/>
      <sz val="28"/>
      <color indexed="18"/>
      <name val="Bookman Old Style"/>
      <family val="1"/>
    </font>
    <font>
      <b/>
      <sz val="10"/>
      <name val="Bookman Old Style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8"/>
      <name val="Times New Roman"/>
      <family val="1"/>
    </font>
    <font>
      <b/>
      <sz val="8"/>
      <name val="Arial"/>
      <family val="2"/>
    </font>
    <font>
      <b/>
      <sz val="11"/>
      <name val="Times New Roman"/>
      <family val="1"/>
    </font>
    <font>
      <b/>
      <sz val="8.5"/>
      <name val="MS Sans Serif"/>
      <family val="2"/>
    </font>
    <font>
      <b/>
      <sz val="12"/>
      <color rgb="FF00B05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8.5"/>
      <color rgb="FFFF0000"/>
      <name val="MS Sans Serif"/>
      <family val="2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color rgb="FFFF0000"/>
      <name val="Times New Roman"/>
      <family val="1"/>
    </font>
    <font>
      <b/>
      <sz val="12"/>
      <name val="Times New Roman"/>
      <family val="1"/>
    </font>
    <font>
      <sz val="12"/>
      <color theme="0" tint="-0.34998626667073579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4" xfId="0" applyFont="1" applyFill="1" applyBorder="1" applyAlignment="1">
      <alignment horizontal="centerContinuous" vertical="center"/>
    </xf>
    <xf numFmtId="0" fontId="3" fillId="0" borderId="5" xfId="0" applyFont="1" applyBorder="1" applyAlignment="1">
      <alignment horizontal="centerContinuous" vertical="center"/>
    </xf>
    <xf numFmtId="0" fontId="4" fillId="0" borderId="6" xfId="0" applyFont="1" applyBorder="1" applyAlignment="1">
      <alignment horizontal="centerContinuous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Continuous" vertical="center"/>
    </xf>
    <xf numFmtId="0" fontId="5" fillId="0" borderId="8" xfId="0" applyFont="1" applyBorder="1" applyAlignment="1">
      <alignment horizontal="centerContinuous" vertical="center"/>
    </xf>
    <xf numFmtId="0" fontId="5" fillId="0" borderId="6" xfId="0" applyFont="1" applyBorder="1" applyAlignment="1">
      <alignment horizontal="centerContinuous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3" borderId="10" xfId="0" applyFont="1" applyFill="1" applyBorder="1" applyAlignment="1">
      <alignment horizontal="left"/>
    </xf>
    <xf numFmtId="0" fontId="7" fillId="3" borderId="9" xfId="0" applyFont="1" applyFill="1" applyBorder="1" applyAlignment="1">
      <alignment horizontal="right"/>
    </xf>
    <xf numFmtId="0" fontId="5" fillId="3" borderId="9" xfId="0" applyFont="1" applyFill="1" applyBorder="1" applyAlignment="1" applyProtection="1">
      <alignment horizontal="center" vertical="center"/>
      <protection locked="0"/>
    </xf>
    <xf numFmtId="0" fontId="8" fillId="3" borderId="9" xfId="0" applyFont="1" applyFill="1" applyBorder="1" applyAlignment="1">
      <alignment horizontal="right" vertical="center"/>
    </xf>
    <xf numFmtId="2" fontId="9" fillId="3" borderId="9" xfId="0" applyNumberFormat="1" applyFont="1" applyFill="1" applyBorder="1" applyAlignment="1" applyProtection="1">
      <alignment horizontal="center" vertical="center"/>
      <protection locked="0"/>
    </xf>
    <xf numFmtId="0" fontId="8" fillId="3" borderId="9" xfId="0" applyFont="1" applyFill="1" applyBorder="1" applyAlignment="1">
      <alignment horizontal="center" vertical="center"/>
    </xf>
    <xf numFmtId="164" fontId="9" fillId="3" borderId="9" xfId="0" applyNumberFormat="1" applyFont="1" applyFill="1" applyBorder="1" applyAlignment="1" applyProtection="1">
      <alignment horizontal="center" vertical="center"/>
      <protection locked="0"/>
    </xf>
    <xf numFmtId="2" fontId="9" fillId="3" borderId="11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165" fontId="10" fillId="5" borderId="10" xfId="0" applyNumberFormat="1" applyFont="1" applyFill="1" applyBorder="1" applyAlignment="1">
      <alignment horizontal="center" vertical="center"/>
    </xf>
    <xf numFmtId="165" fontId="13" fillId="5" borderId="10" xfId="0" applyNumberFormat="1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left"/>
    </xf>
    <xf numFmtId="2" fontId="14" fillId="3" borderId="9" xfId="0" applyNumberFormat="1" applyFont="1" applyFill="1" applyBorder="1" applyAlignment="1" applyProtection="1">
      <alignment horizontal="center" vertical="center"/>
      <protection locked="0"/>
    </xf>
    <xf numFmtId="165" fontId="10" fillId="5" borderId="10" xfId="0" applyNumberFormat="1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/>
    </xf>
    <xf numFmtId="165" fontId="16" fillId="5" borderId="10" xfId="0" applyNumberFormat="1" applyFont="1" applyFill="1" applyBorder="1" applyAlignment="1">
      <alignment horizontal="center" vertical="center"/>
    </xf>
    <xf numFmtId="165" fontId="10" fillId="5" borderId="12" xfId="0" applyNumberFormat="1" applyFont="1" applyFill="1" applyBorder="1" applyAlignment="1">
      <alignment horizontal="center" vertical="center"/>
    </xf>
    <xf numFmtId="49" fontId="17" fillId="0" borderId="13" xfId="0" applyNumberFormat="1" applyFont="1" applyBorder="1" applyAlignment="1">
      <alignment horizontal="center" vertical="center" wrapText="1"/>
    </xf>
    <xf numFmtId="49" fontId="17" fillId="0" borderId="14" xfId="0" applyNumberFormat="1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2" fontId="19" fillId="0" borderId="15" xfId="0" applyNumberFormat="1" applyFont="1" applyBorder="1" applyAlignment="1">
      <alignment horizontal="center" vertical="center"/>
    </xf>
    <xf numFmtId="2" fontId="19" fillId="0" borderId="17" xfId="0" applyNumberFormat="1" applyFont="1" applyBorder="1" applyAlignment="1">
      <alignment horizontal="center" vertical="center"/>
    </xf>
    <xf numFmtId="2" fontId="19" fillId="0" borderId="16" xfId="0" applyNumberFormat="1" applyFont="1" applyBorder="1" applyAlignment="1">
      <alignment horizontal="center" vertical="center"/>
    </xf>
    <xf numFmtId="49" fontId="17" fillId="0" borderId="0" xfId="0" applyNumberFormat="1" applyFont="1" applyAlignment="1" applyProtection="1">
      <alignment horizontal="center" vertical="center"/>
      <protection locked="0"/>
    </xf>
    <xf numFmtId="20" fontId="0" fillId="0" borderId="0" xfId="0" applyNumberFormat="1"/>
    <xf numFmtId="2" fontId="4" fillId="0" borderId="0" xfId="0" applyNumberFormat="1" applyFont="1"/>
    <xf numFmtId="17" fontId="2" fillId="2" borderId="4" xfId="0" applyNumberFormat="1" applyFont="1" applyFill="1" applyBorder="1" applyAlignment="1">
      <alignment horizontal="centerContinuous" vertical="center"/>
    </xf>
  </cellXfs>
  <cellStyles count="1">
    <cellStyle name="Normal" xfId="0" builtinId="0"/>
  </cellStyles>
  <dxfs count="2"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C7D36-4ED0-4AF7-90F6-30C5E640F8F0}">
  <dimension ref="A1:J37"/>
  <sheetViews>
    <sheetView tabSelected="1" workbookViewId="0">
      <selection activeCell="G4" sqref="G4"/>
    </sheetView>
  </sheetViews>
  <sheetFormatPr baseColWidth="10" defaultRowHeight="14.4" x14ac:dyDescent="0.3"/>
  <cols>
    <col min="1" max="1" width="8.5546875" customWidth="1"/>
    <col min="2" max="2" width="4.109375" customWidth="1"/>
    <col min="3" max="3" width="17.33203125" customWidth="1"/>
    <col min="4" max="4" width="4.6640625" customWidth="1"/>
    <col min="6" max="6" width="5.44140625" customWidth="1"/>
    <col min="8" max="8" width="0" hidden="1" customWidth="1"/>
    <col min="10" max="10" width="83.44140625" customWidth="1"/>
  </cols>
  <sheetData>
    <row r="1" spans="1:10" ht="36" thickTop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36" thickBot="1" x14ac:dyDescent="0.35">
      <c r="A2" s="3"/>
      <c r="B2" s="4"/>
      <c r="C2" s="4"/>
      <c r="D2" s="4"/>
      <c r="E2" s="4"/>
      <c r="F2" s="4"/>
      <c r="G2" s="4"/>
      <c r="H2" s="4"/>
      <c r="I2" s="45">
        <v>46266</v>
      </c>
      <c r="J2" s="4"/>
    </row>
    <row r="3" spans="1:10" ht="15" thickTop="1" x14ac:dyDescent="0.3"/>
    <row r="5" spans="1:10" ht="15" thickBot="1" x14ac:dyDescent="0.35"/>
    <row r="6" spans="1:10" x14ac:dyDescent="0.3">
      <c r="A6" s="5" t="s">
        <v>1</v>
      </c>
      <c r="B6" s="6"/>
      <c r="C6" s="7" t="s">
        <v>2</v>
      </c>
      <c r="D6" s="8" t="s">
        <v>3</v>
      </c>
      <c r="E6" s="9"/>
      <c r="F6" s="9"/>
      <c r="G6" s="10"/>
      <c r="H6" s="11" t="s">
        <v>4</v>
      </c>
      <c r="I6" s="12" t="s">
        <v>5</v>
      </c>
      <c r="J6" s="13" t="s">
        <v>6</v>
      </c>
    </row>
    <row r="7" spans="1:10" ht="15.6" x14ac:dyDescent="0.3">
      <c r="A7" s="14" t="s">
        <v>7</v>
      </c>
      <c r="B7" s="15">
        <v>1</v>
      </c>
      <c r="C7" s="16" t="s">
        <v>8</v>
      </c>
      <c r="D7" s="17" t="s">
        <v>9</v>
      </c>
      <c r="E7" s="18">
        <v>8.75</v>
      </c>
      <c r="F7" s="19" t="s">
        <v>10</v>
      </c>
      <c r="G7" s="18">
        <v>23.5</v>
      </c>
      <c r="H7" s="20"/>
      <c r="I7" s="21">
        <v>14.75</v>
      </c>
      <c r="J7" s="22" t="s">
        <v>11</v>
      </c>
    </row>
    <row r="8" spans="1:10" ht="15.6" x14ac:dyDescent="0.3">
      <c r="A8" s="14" t="s">
        <v>12</v>
      </c>
      <c r="B8" s="15">
        <v>2</v>
      </c>
      <c r="C8" s="16" t="s">
        <v>8</v>
      </c>
      <c r="D8" s="17" t="s">
        <v>9</v>
      </c>
      <c r="E8" s="18">
        <v>8.75</v>
      </c>
      <c r="F8" s="19" t="s">
        <v>10</v>
      </c>
      <c r="G8" s="18">
        <v>23.5</v>
      </c>
      <c r="H8" s="20"/>
      <c r="I8" s="21">
        <f>G7-E7</f>
        <v>14.75</v>
      </c>
      <c r="J8" s="22" t="s">
        <v>11</v>
      </c>
    </row>
    <row r="9" spans="1:10" ht="15.6" x14ac:dyDescent="0.3">
      <c r="A9" s="14" t="s">
        <v>13</v>
      </c>
      <c r="B9" s="15">
        <v>3</v>
      </c>
      <c r="C9" s="16" t="s">
        <v>8</v>
      </c>
      <c r="D9" s="17" t="s">
        <v>9</v>
      </c>
      <c r="E9" s="18">
        <v>8.75</v>
      </c>
      <c r="F9" s="19" t="s">
        <v>10</v>
      </c>
      <c r="G9" s="18">
        <v>23.5</v>
      </c>
      <c r="H9" s="20"/>
      <c r="I9" s="21">
        <f>G8-E8-H9</f>
        <v>14.75</v>
      </c>
      <c r="J9" s="23" t="s">
        <v>11</v>
      </c>
    </row>
    <row r="10" spans="1:10" ht="15.6" x14ac:dyDescent="0.3">
      <c r="A10" s="14" t="s">
        <v>14</v>
      </c>
      <c r="B10" s="15">
        <v>4</v>
      </c>
      <c r="C10" s="16" t="s">
        <v>8</v>
      </c>
      <c r="D10" s="17" t="s">
        <v>9</v>
      </c>
      <c r="E10" s="18">
        <v>8.75</v>
      </c>
      <c r="F10" s="19" t="s">
        <v>10</v>
      </c>
      <c r="G10" s="18">
        <v>23.5</v>
      </c>
      <c r="H10" s="20"/>
      <c r="I10" s="21">
        <f>G9-E9-H10</f>
        <v>14.75</v>
      </c>
      <c r="J10" s="23" t="s">
        <v>11</v>
      </c>
    </row>
    <row r="11" spans="1:10" x14ac:dyDescent="0.3">
      <c r="A11" s="14" t="s">
        <v>15</v>
      </c>
      <c r="B11" s="15">
        <v>5</v>
      </c>
      <c r="C11" s="16" t="s">
        <v>8</v>
      </c>
      <c r="D11" s="17" t="s">
        <v>9</v>
      </c>
      <c r="E11" s="18">
        <v>8.75</v>
      </c>
      <c r="F11" s="19" t="s">
        <v>10</v>
      </c>
      <c r="G11" s="18">
        <v>19.5</v>
      </c>
      <c r="H11" s="20"/>
      <c r="I11" s="21">
        <v>10.75</v>
      </c>
      <c r="J11" s="24"/>
    </row>
    <row r="12" spans="1:10" x14ac:dyDescent="0.3">
      <c r="A12" s="14" t="s">
        <v>16</v>
      </c>
      <c r="B12" s="15">
        <v>6</v>
      </c>
      <c r="C12" s="16" t="s">
        <v>8</v>
      </c>
      <c r="D12" s="17" t="s">
        <v>9</v>
      </c>
      <c r="E12" s="18"/>
      <c r="F12" s="19" t="s">
        <v>10</v>
      </c>
      <c r="G12" s="18"/>
      <c r="H12" s="20"/>
      <c r="I12" s="21"/>
      <c r="J12" s="25"/>
    </row>
    <row r="13" spans="1:10" ht="15.6" x14ac:dyDescent="0.3">
      <c r="A13" s="14" t="s">
        <v>17</v>
      </c>
      <c r="B13" s="15">
        <v>7</v>
      </c>
      <c r="C13" s="16" t="s">
        <v>8</v>
      </c>
      <c r="D13" s="17" t="s">
        <v>9</v>
      </c>
      <c r="E13" s="18">
        <v>8.75</v>
      </c>
      <c r="F13" s="19" t="s">
        <v>10</v>
      </c>
      <c r="G13" s="18">
        <v>23</v>
      </c>
      <c r="H13" s="20"/>
      <c r="I13" s="21">
        <f>G13-E13-H13</f>
        <v>14.25</v>
      </c>
      <c r="J13" s="26" t="s">
        <v>18</v>
      </c>
    </row>
    <row r="14" spans="1:10" ht="15.6" x14ac:dyDescent="0.3">
      <c r="A14" s="14" t="s">
        <v>7</v>
      </c>
      <c r="B14" s="15">
        <v>8</v>
      </c>
      <c r="C14" s="16" t="s">
        <v>8</v>
      </c>
      <c r="D14" s="17" t="s">
        <v>9</v>
      </c>
      <c r="E14" s="18">
        <v>8.75</v>
      </c>
      <c r="F14" s="19" t="s">
        <v>10</v>
      </c>
      <c r="G14" s="18">
        <v>23.5</v>
      </c>
      <c r="H14" s="20"/>
      <c r="I14" s="21">
        <f>G14-E14-H14</f>
        <v>14.75</v>
      </c>
      <c r="J14" s="26" t="s">
        <v>19</v>
      </c>
    </row>
    <row r="15" spans="1:10" ht="15.6" x14ac:dyDescent="0.3">
      <c r="A15" s="14" t="s">
        <v>12</v>
      </c>
      <c r="B15" s="15">
        <v>9</v>
      </c>
      <c r="C15" s="16" t="s">
        <v>8</v>
      </c>
      <c r="D15" s="17" t="s">
        <v>9</v>
      </c>
      <c r="E15" s="18">
        <v>8.75</v>
      </c>
      <c r="F15" s="19" t="s">
        <v>10</v>
      </c>
      <c r="G15" s="18">
        <v>23.5</v>
      </c>
      <c r="H15" s="20"/>
      <c r="I15" s="21">
        <f>G15-E15-H15</f>
        <v>14.75</v>
      </c>
      <c r="J15" s="26" t="s">
        <v>20</v>
      </c>
    </row>
    <row r="16" spans="1:10" ht="15.6" x14ac:dyDescent="0.3">
      <c r="A16" s="14" t="s">
        <v>13</v>
      </c>
      <c r="B16" s="15">
        <v>10</v>
      </c>
      <c r="C16" s="16" t="s">
        <v>8</v>
      </c>
      <c r="D16" s="17" t="s">
        <v>9</v>
      </c>
      <c r="E16" s="18">
        <v>8.75</v>
      </c>
      <c r="F16" s="19" t="s">
        <v>10</v>
      </c>
      <c r="G16" s="18">
        <v>23.5</v>
      </c>
      <c r="H16" s="20"/>
      <c r="I16" s="21">
        <f>G16-E16</f>
        <v>14.75</v>
      </c>
      <c r="J16" s="26" t="s">
        <v>21</v>
      </c>
    </row>
    <row r="17" spans="1:10" ht="15.6" x14ac:dyDescent="0.3">
      <c r="A17" s="14" t="s">
        <v>14</v>
      </c>
      <c r="B17" s="15">
        <v>11</v>
      </c>
      <c r="C17" s="16" t="s">
        <v>8</v>
      </c>
      <c r="D17" s="17" t="s">
        <v>9</v>
      </c>
      <c r="E17" s="18">
        <v>8.75</v>
      </c>
      <c r="F17" s="19" t="s">
        <v>10</v>
      </c>
      <c r="G17" s="18">
        <v>23.5</v>
      </c>
      <c r="H17" s="20"/>
      <c r="I17" s="21">
        <f t="shared" ref="I17:I22" si="0">G17-E17-H17</f>
        <v>14.75</v>
      </c>
      <c r="J17" s="27"/>
    </row>
    <row r="18" spans="1:10" ht="15.6" x14ac:dyDescent="0.3">
      <c r="A18" s="14" t="s">
        <v>15</v>
      </c>
      <c r="B18" s="15">
        <v>12</v>
      </c>
      <c r="C18" s="16" t="s">
        <v>8</v>
      </c>
      <c r="D18" s="17" t="s">
        <v>9</v>
      </c>
      <c r="E18" s="18">
        <v>8.75</v>
      </c>
      <c r="F18" s="19" t="s">
        <v>10</v>
      </c>
      <c r="G18" s="18">
        <v>19.5</v>
      </c>
      <c r="H18" s="20"/>
      <c r="I18" s="21">
        <f t="shared" si="0"/>
        <v>10.75</v>
      </c>
      <c r="J18" s="28" t="s">
        <v>22</v>
      </c>
    </row>
    <row r="19" spans="1:10" x14ac:dyDescent="0.3">
      <c r="A19" s="14" t="s">
        <v>16</v>
      </c>
      <c r="B19" s="15">
        <v>13</v>
      </c>
      <c r="C19" s="16" t="s">
        <v>8</v>
      </c>
      <c r="D19" s="17" t="s">
        <v>9</v>
      </c>
      <c r="E19" s="18"/>
      <c r="F19" s="19" t="s">
        <v>10</v>
      </c>
      <c r="G19" s="18"/>
      <c r="H19" s="20"/>
      <c r="I19" s="21"/>
      <c r="J19" s="25"/>
    </row>
    <row r="20" spans="1:10" ht="15.6" x14ac:dyDescent="0.3">
      <c r="A20" s="14" t="s">
        <v>17</v>
      </c>
      <c r="B20" s="15">
        <v>14</v>
      </c>
      <c r="C20" s="16" t="s">
        <v>8</v>
      </c>
      <c r="D20" s="17" t="s">
        <v>9</v>
      </c>
      <c r="E20" s="18">
        <v>8.75</v>
      </c>
      <c r="F20" s="19" t="s">
        <v>10</v>
      </c>
      <c r="G20" s="18">
        <v>23</v>
      </c>
      <c r="H20" s="20"/>
      <c r="I20" s="21">
        <f t="shared" si="0"/>
        <v>14.25</v>
      </c>
      <c r="J20" s="26"/>
    </row>
    <row r="21" spans="1:10" ht="15.6" x14ac:dyDescent="0.3">
      <c r="A21" s="14" t="s">
        <v>7</v>
      </c>
      <c r="B21" s="15">
        <v>15</v>
      </c>
      <c r="C21" s="16" t="s">
        <v>8</v>
      </c>
      <c r="D21" s="17" t="s">
        <v>9</v>
      </c>
      <c r="E21" s="18">
        <v>8.75</v>
      </c>
      <c r="F21" s="19" t="s">
        <v>10</v>
      </c>
      <c r="G21" s="18">
        <v>23.5</v>
      </c>
      <c r="H21" s="20"/>
      <c r="I21" s="21">
        <f t="shared" si="0"/>
        <v>14.75</v>
      </c>
      <c r="J21" s="26" t="s">
        <v>23</v>
      </c>
    </row>
    <row r="22" spans="1:10" ht="15.6" x14ac:dyDescent="0.3">
      <c r="A22" s="14" t="s">
        <v>12</v>
      </c>
      <c r="B22" s="15">
        <v>16</v>
      </c>
      <c r="C22" s="16" t="s">
        <v>8</v>
      </c>
      <c r="D22" s="17" t="s">
        <v>9</v>
      </c>
      <c r="E22" s="18">
        <v>8.75</v>
      </c>
      <c r="F22" s="19" t="s">
        <v>10</v>
      </c>
      <c r="G22" s="18">
        <v>23.5</v>
      </c>
      <c r="H22" s="20"/>
      <c r="I22" s="21">
        <f t="shared" si="0"/>
        <v>14.75</v>
      </c>
      <c r="J22" s="26" t="s">
        <v>23</v>
      </c>
    </row>
    <row r="23" spans="1:10" ht="15.6" x14ac:dyDescent="0.3">
      <c r="A23" s="14" t="s">
        <v>13</v>
      </c>
      <c r="B23" s="15">
        <v>17</v>
      </c>
      <c r="C23" s="16" t="s">
        <v>8</v>
      </c>
      <c r="D23" s="17" t="s">
        <v>9</v>
      </c>
      <c r="E23" s="18">
        <v>8.75</v>
      </c>
      <c r="F23" s="19" t="s">
        <v>10</v>
      </c>
      <c r="G23" s="18">
        <v>23.5</v>
      </c>
      <c r="H23" s="20"/>
      <c r="I23" s="21">
        <f>G23-E23</f>
        <v>14.75</v>
      </c>
      <c r="J23" s="26" t="s">
        <v>24</v>
      </c>
    </row>
    <row r="24" spans="1:10" ht="15.6" x14ac:dyDescent="0.3">
      <c r="A24" s="14" t="s">
        <v>14</v>
      </c>
      <c r="B24" s="15">
        <v>18</v>
      </c>
      <c r="C24" s="16" t="s">
        <v>8</v>
      </c>
      <c r="D24" s="17" t="s">
        <v>9</v>
      </c>
      <c r="E24" s="18">
        <v>8.75</v>
      </c>
      <c r="F24" s="19" t="s">
        <v>10</v>
      </c>
      <c r="G24" s="18">
        <v>23.5</v>
      </c>
      <c r="H24" s="20"/>
      <c r="I24" s="21">
        <f t="shared" ref="I24:I29" si="1">G24-E24-H24</f>
        <v>14.75</v>
      </c>
      <c r="J24" s="26" t="s">
        <v>24</v>
      </c>
    </row>
    <row r="25" spans="1:10" x14ac:dyDescent="0.3">
      <c r="A25" s="14" t="s">
        <v>15</v>
      </c>
      <c r="B25" s="15">
        <v>19</v>
      </c>
      <c r="C25" s="16" t="s">
        <v>8</v>
      </c>
      <c r="D25" s="17" t="s">
        <v>9</v>
      </c>
      <c r="E25" s="18">
        <v>8.75</v>
      </c>
      <c r="F25" s="19" t="s">
        <v>10</v>
      </c>
      <c r="G25" s="18">
        <v>19.5</v>
      </c>
      <c r="H25" s="20"/>
      <c r="I25" s="21">
        <f t="shared" si="1"/>
        <v>10.75</v>
      </c>
      <c r="J25" s="24"/>
    </row>
    <row r="26" spans="1:10" x14ac:dyDescent="0.3">
      <c r="A26" s="14" t="s">
        <v>16</v>
      </c>
      <c r="B26" s="15">
        <v>20</v>
      </c>
      <c r="C26" s="16" t="s">
        <v>8</v>
      </c>
      <c r="D26" s="17" t="s">
        <v>9</v>
      </c>
      <c r="E26" s="18"/>
      <c r="F26" s="19" t="s">
        <v>10</v>
      </c>
      <c r="G26" s="18"/>
      <c r="H26" s="20"/>
      <c r="I26" s="21"/>
      <c r="J26" s="25"/>
    </row>
    <row r="27" spans="1:10" ht="15.6" x14ac:dyDescent="0.3">
      <c r="A27" s="29" t="s">
        <v>17</v>
      </c>
      <c r="B27" s="15">
        <v>21</v>
      </c>
      <c r="C27" s="16" t="s">
        <v>8</v>
      </c>
      <c r="D27" s="17" t="s">
        <v>9</v>
      </c>
      <c r="E27" s="18">
        <v>8.75</v>
      </c>
      <c r="F27" s="19" t="s">
        <v>10</v>
      </c>
      <c r="G27" s="18">
        <v>23</v>
      </c>
      <c r="H27" s="20"/>
      <c r="I27" s="21">
        <f t="shared" si="1"/>
        <v>14.25</v>
      </c>
      <c r="J27" s="26" t="s">
        <v>25</v>
      </c>
    </row>
    <row r="28" spans="1:10" ht="15.6" x14ac:dyDescent="0.3">
      <c r="A28" s="29" t="s">
        <v>7</v>
      </c>
      <c r="B28" s="15">
        <v>22</v>
      </c>
      <c r="C28" s="16" t="s">
        <v>8</v>
      </c>
      <c r="D28" s="17" t="s">
        <v>9</v>
      </c>
      <c r="E28" s="18">
        <v>8.75</v>
      </c>
      <c r="F28" s="19" t="s">
        <v>10</v>
      </c>
      <c r="G28" s="18">
        <v>23.5</v>
      </c>
      <c r="H28" s="20"/>
      <c r="I28" s="21">
        <f t="shared" si="1"/>
        <v>14.75</v>
      </c>
      <c r="J28" s="26" t="s">
        <v>25</v>
      </c>
    </row>
    <row r="29" spans="1:10" ht="15.6" x14ac:dyDescent="0.3">
      <c r="A29" s="29" t="s">
        <v>12</v>
      </c>
      <c r="B29" s="15">
        <v>23</v>
      </c>
      <c r="C29" s="16" t="s">
        <v>8</v>
      </c>
      <c r="D29" s="17" t="s">
        <v>9</v>
      </c>
      <c r="E29" s="18">
        <v>8.75</v>
      </c>
      <c r="F29" s="19" t="s">
        <v>10</v>
      </c>
      <c r="G29" s="18">
        <v>23.5</v>
      </c>
      <c r="H29" s="20"/>
      <c r="I29" s="21">
        <f t="shared" si="1"/>
        <v>14.75</v>
      </c>
      <c r="J29" s="26" t="s">
        <v>26</v>
      </c>
    </row>
    <row r="30" spans="1:10" ht="31.2" x14ac:dyDescent="0.3">
      <c r="A30" s="29" t="s">
        <v>13</v>
      </c>
      <c r="B30" s="15">
        <v>24</v>
      </c>
      <c r="C30" s="16" t="s">
        <v>8</v>
      </c>
      <c r="D30" s="17" t="s">
        <v>9</v>
      </c>
      <c r="E30" s="30">
        <v>8</v>
      </c>
      <c r="F30" s="19" t="s">
        <v>10</v>
      </c>
      <c r="G30" s="18">
        <v>23.5</v>
      </c>
      <c r="H30" s="20"/>
      <c r="I30" s="21">
        <f>G30-E30</f>
        <v>15.5</v>
      </c>
      <c r="J30" s="31" t="s">
        <v>27</v>
      </c>
    </row>
    <row r="31" spans="1:10" ht="15.6" x14ac:dyDescent="0.3">
      <c r="A31" s="29" t="s">
        <v>14</v>
      </c>
      <c r="B31" s="15">
        <v>25</v>
      </c>
      <c r="C31" s="16" t="s">
        <v>8</v>
      </c>
      <c r="D31" s="17" t="s">
        <v>9</v>
      </c>
      <c r="E31" s="18">
        <v>8.75</v>
      </c>
      <c r="F31" s="19" t="s">
        <v>10</v>
      </c>
      <c r="G31" s="18">
        <v>23.5</v>
      </c>
      <c r="H31" s="20"/>
      <c r="I31" s="21">
        <f>G31-E31-H31</f>
        <v>14.75</v>
      </c>
      <c r="J31" s="26" t="s">
        <v>28</v>
      </c>
    </row>
    <row r="32" spans="1:10" ht="15.6" x14ac:dyDescent="0.3">
      <c r="A32" s="29" t="s">
        <v>15</v>
      </c>
      <c r="B32" s="15">
        <v>26</v>
      </c>
      <c r="C32" s="16" t="s">
        <v>8</v>
      </c>
      <c r="D32" s="17" t="s">
        <v>9</v>
      </c>
      <c r="E32" s="18">
        <v>8.75</v>
      </c>
      <c r="F32" s="19" t="s">
        <v>10</v>
      </c>
      <c r="G32" s="18">
        <v>19.5</v>
      </c>
      <c r="H32" s="20"/>
      <c r="I32" s="21">
        <f t="shared" ref="I32" si="2">G32-E32-H32</f>
        <v>10.75</v>
      </c>
      <c r="J32" s="32"/>
    </row>
    <row r="33" spans="1:10" x14ac:dyDescent="0.3">
      <c r="A33" s="29" t="s">
        <v>16</v>
      </c>
      <c r="B33" s="15">
        <v>27</v>
      </c>
      <c r="C33" s="16" t="s">
        <v>8</v>
      </c>
      <c r="D33" s="17" t="s">
        <v>9</v>
      </c>
      <c r="E33" s="18"/>
      <c r="F33" s="19" t="s">
        <v>10</v>
      </c>
      <c r="G33" s="18"/>
      <c r="H33" s="20"/>
      <c r="I33" s="21"/>
      <c r="J33" s="25"/>
    </row>
    <row r="34" spans="1:10" ht="15.6" x14ac:dyDescent="0.3">
      <c r="A34" s="29" t="s">
        <v>17</v>
      </c>
      <c r="B34" s="15">
        <v>28</v>
      </c>
      <c r="C34" s="16" t="s">
        <v>8</v>
      </c>
      <c r="D34" s="17" t="s">
        <v>9</v>
      </c>
      <c r="E34" s="18">
        <v>8.75</v>
      </c>
      <c r="F34" s="19" t="s">
        <v>10</v>
      </c>
      <c r="G34" s="18">
        <v>23</v>
      </c>
      <c r="H34" s="20"/>
      <c r="I34" s="21">
        <f>G34-E34-H34</f>
        <v>14.25</v>
      </c>
      <c r="J34" s="33"/>
    </row>
    <row r="35" spans="1:10" ht="15.6" x14ac:dyDescent="0.3">
      <c r="A35" s="29" t="s">
        <v>7</v>
      </c>
      <c r="B35" s="15">
        <v>29</v>
      </c>
      <c r="C35" s="16" t="s">
        <v>8</v>
      </c>
      <c r="D35" s="17" t="s">
        <v>9</v>
      </c>
      <c r="E35" s="18">
        <v>8.75</v>
      </c>
      <c r="F35" s="19" t="s">
        <v>10</v>
      </c>
      <c r="G35" s="18">
        <v>23.5</v>
      </c>
      <c r="H35" s="20"/>
      <c r="I35" s="21">
        <f>(G35-E35)</f>
        <v>14.75</v>
      </c>
      <c r="J35" s="26" t="s">
        <v>29</v>
      </c>
    </row>
    <row r="36" spans="1:10" ht="16.2" thickBot="1" x14ac:dyDescent="0.35">
      <c r="A36" s="29" t="s">
        <v>12</v>
      </c>
      <c r="B36" s="15">
        <v>30</v>
      </c>
      <c r="C36" s="16" t="s">
        <v>8</v>
      </c>
      <c r="D36" s="17" t="s">
        <v>9</v>
      </c>
      <c r="E36" s="18">
        <v>8.75</v>
      </c>
      <c r="F36" s="19" t="s">
        <v>10</v>
      </c>
      <c r="G36" s="18">
        <v>23.5</v>
      </c>
      <c r="H36" s="20"/>
      <c r="I36" s="21">
        <f>(G36-E36)</f>
        <v>14.75</v>
      </c>
      <c r="J36" s="34" t="s">
        <v>29</v>
      </c>
    </row>
    <row r="37" spans="1:10" ht="19.2" thickBot="1" x14ac:dyDescent="0.35">
      <c r="A37" s="35"/>
      <c r="B37" s="36"/>
      <c r="C37" s="37" t="s">
        <v>30</v>
      </c>
      <c r="D37" s="38"/>
      <c r="E37" s="39">
        <f xml:space="preserve"> SUM(I7:I38)</f>
        <v>366.25</v>
      </c>
      <c r="F37" s="40"/>
      <c r="G37" s="41"/>
      <c r="H37" s="42"/>
      <c r="I37" s="43"/>
      <c r="J37" s="44">
        <f>E37</f>
        <v>366.25</v>
      </c>
    </row>
  </sheetData>
  <mergeCells count="3">
    <mergeCell ref="A37:B37"/>
    <mergeCell ref="C37:D37"/>
    <mergeCell ref="E37:G37"/>
  </mergeCells>
  <conditionalFormatting sqref="E7:E36">
    <cfRule type="cellIs" dxfId="1" priority="1" stopIfTrue="1" operator="greaterThan">
      <formula>A8</formula>
    </cfRule>
  </conditionalFormatting>
  <conditionalFormatting sqref="E20 E27 E34">
    <cfRule type="cellIs" dxfId="0" priority="2" stopIfTrue="1" operator="greaterThan">
      <formula>A20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TARTARIN Muriel</dc:creator>
  <cp:lastModifiedBy>TARTARIN Muriel</cp:lastModifiedBy>
  <dcterms:created xsi:type="dcterms:W3CDTF">2026-07-30T10:00:11Z</dcterms:created>
  <dcterms:modified xsi:type="dcterms:W3CDTF">2026-07-30T10:01:39Z</dcterms:modified>
</cp:coreProperties>
</file>